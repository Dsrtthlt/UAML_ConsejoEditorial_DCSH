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G:\Mi unidad\consejoEditorial\num_5\"/>
    </mc:Choice>
  </mc:AlternateContent>
  <xr:revisionPtr revIDLastSave="0" documentId="13_ncr:1_{1D59D15C-A19C-4E41-B207-7006C1E17519}" xr6:coauthVersionLast="47" xr6:coauthVersionMax="47" xr10:uidLastSave="{00000000-0000-0000-0000-000000000000}"/>
  <bookViews>
    <workbookView xWindow="-110" yWindow="-110" windowWidth="19420" windowHeight="10420" xr2:uid="{DD03B96E-F332-4D91-BD9E-7592142D5BE3}"/>
  </bookViews>
  <sheets>
    <sheet name="Hoja1" sheetId="1" r:id="rId1"/>
  </sheets>
  <definedNames>
    <definedName name="_Hlk113831253" localSheetId="0">Hoja1!$G$12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 l="1"/>
  <c r="B7" i="1"/>
  <c r="B8" i="1"/>
  <c r="B9" i="1"/>
  <c r="B10" i="1"/>
  <c r="B11" i="1"/>
  <c r="B12" i="1"/>
  <c r="B13" i="1"/>
  <c r="B14" i="1"/>
  <c r="B5" i="1"/>
  <c r="B4" i="1"/>
  <c r="B3" i="1"/>
  <c r="B2" i="1"/>
</calcChain>
</file>

<file path=xl/sharedStrings.xml><?xml version="1.0" encoding="utf-8"?>
<sst xmlns="http://schemas.openxmlformats.org/spreadsheetml/2006/main" count="126" uniqueCount="82">
  <si>
    <t>COD_ART</t>
  </si>
  <si>
    <t>TITULO</t>
  </si>
  <si>
    <t>AUTOR</t>
  </si>
  <si>
    <t>001</t>
  </si>
  <si>
    <t>ARCHIVO</t>
  </si>
  <si>
    <t>002</t>
  </si>
  <si>
    <t>003</t>
  </si>
  <si>
    <t>004</t>
  </si>
  <si>
    <t>005</t>
  </si>
  <si>
    <t>006</t>
  </si>
  <si>
    <t>EDITORIAL</t>
  </si>
  <si>
    <t>PAGINA_INICIO</t>
  </si>
  <si>
    <t>PAGINA_FINAL</t>
  </si>
  <si>
    <t>SECCION</t>
  </si>
  <si>
    <t>TEMATICA</t>
  </si>
  <si>
    <t>MISCELANEA</t>
  </si>
  <si>
    <t>resumen</t>
  </si>
  <si>
    <t>palabras</t>
  </si>
  <si>
    <t>contacto</t>
  </si>
  <si>
    <t>pais</t>
  </si>
  <si>
    <t>institución</t>
  </si>
  <si>
    <t>rol</t>
  </si>
  <si>
    <t>Editorial</t>
  </si>
  <si>
    <t>SUBTITULO</t>
  </si>
  <si>
    <t>México</t>
  </si>
  <si>
    <t>Universidad Autónoma Metropolitana, Unidad Lerma</t>
  </si>
  <si>
    <t>000</t>
  </si>
  <si>
    <t>INGLES</t>
  </si>
  <si>
    <t>Universidad Autónoma Metropolitana, Unidad Cuajimalpa</t>
  </si>
  <si>
    <t>Jesús Fernando Monreal Ramírez</t>
  </si>
  <si>
    <t>Ana Carolina Robles</t>
  </si>
  <si>
    <t>Edmar Soria</t>
  </si>
  <si>
    <t>Practicar el pensamiento del cuerpo que danza</t>
  </si>
  <si>
    <t>Retrato cibernético de un trabajo creativo arte/diseño</t>
  </si>
  <si>
    <t xml:space="preserve">La escucha y partitura gráfica como herramientas pedagógicas en el análisis musical </t>
  </si>
  <si>
    <t>La investigación-creación en la erosión de lindes disciplinares</t>
  </si>
  <si>
    <t>La importancia de las ciencias sociales en el mundo contemporáneo</t>
  </si>
  <si>
    <t>Entrevista a Ivonne Vizcarra Bordi</t>
  </si>
  <si>
    <t>ENTREVISTA</t>
  </si>
  <si>
    <t>RESEÑA</t>
  </si>
  <si>
    <t>007</t>
  </si>
  <si>
    <t>008</t>
  </si>
  <si>
    <t>El entrecruzamiento crítico entre la antropología y la pedagogía del diseño</t>
  </si>
  <si>
    <t>Diseño y agencia</t>
  </si>
  <si>
    <t>Obra artística de Rafael Lozano-Hemmer</t>
  </si>
  <si>
    <t>Último suspiro</t>
  </si>
  <si>
    <t>Zulai Macías Osorno</t>
  </si>
  <si>
    <t>Erika Cecilia Castañeda Arredondo</t>
  </si>
  <si>
    <t>Abraham Lepe Romano</t>
  </si>
  <si>
    <t>Rodrigo Rosales González</t>
  </si>
  <si>
    <t>Emma Wilde</t>
  </si>
  <si>
    <t xml:space="preserve">Mario Alberto Duarte García </t>
  </si>
  <si>
    <t>Ana Carolina Robles Salvador</t>
  </si>
  <si>
    <t>Gustavo Lins Ribeiro</t>
  </si>
  <si>
    <t>Ignacio López Moreno</t>
  </si>
  <si>
    <t>Mónica Francisca Benítez Dávila</t>
  </si>
  <si>
    <t>Centro Nacional de Investigación, Documentación e Información de la Danza “José Limón”.</t>
  </si>
  <si>
    <t>Durante una caminata imaginaria hacia un parque con juegos infantiles, indago las singularidades de la investigación-creación en la danza, una disciplina que ha sido señalada como un arte de inteligencia corporal y productora de material inaprehensible para su estudio. En este ensayo sostengo que en el acto de danzar hay producción de conocimiento y que éste puede volverse inteligible y traducible para otras personas que no encarnan este acontecer. Además, que el buscar cómo nombrar eso que se produce es también un acto de creación. Finalmente, distingo entre dos formas de investigar: 1) la de quienes miran de fuera el hecho dancístico y 2) la investigación-creación en danza.</t>
  </si>
  <si>
    <t>Danza, cuerpo, lenguaje</t>
  </si>
  <si>
    <t>During an imaginary walk to a park with children's games, I inquire the singularities of researchcreation in dance, a discipline that has been pointed out as an art of body intelligence and a producer of inapprehensible material for study. In this essay I argue that in the act of dancing there is production of knowledge and that it can become intelligible and translatable for other people who do not embody this event. In addition, that finding a name for what is produced is also an act of creation. Finally, I distinguish between two forms of research: 1) that of those who look at the dance event from outside and 2) research-creation in dance.</t>
  </si>
  <si>
    <t>ecastaneda@cua.uam.mx</t>
  </si>
  <si>
    <t>cenidid.zmacias@inba.edu.mx</t>
  </si>
  <si>
    <t>Este artículo se desprende del trabajo de investigación y de la práctica docente realizados en la licenciatura en Diseño de la UAM Cuajimalpa. En ese sentido, se abordan las preguntas de investigación: ¿cómo se puede enseñar el diseño a partir de procesos sociales agentivos que permitan abrir vías de investigación para la práctica del diseño concebido como una disciplina social? Y, particularmente, ¿cómo pueden acompañar dichos procesos a la práctica docente del diseño, cuando se enfrentan problemas sociales? La propuesta consiste, entonces, en argumentar sobre la capacidad de activar agencias para entender las dinámicas sociales en las que se insertan tanto los procesos del diseño, como la enseñanza de este. Todo ello, ejemplificado con los procesos didácticos del Laboratorio de Proyecto Terminal en la licenciatura en Diseño de la UAM Cuajimalpa, durante el año 2020, cuya temática fue “Soberanía alimentaria en el contexto de la pandemia por SARS-COV-2”.</t>
  </si>
  <si>
    <t>Agencia, pedagogía crítica, diseño y participación social</t>
  </si>
  <si>
    <t>This article is based on the research work and teaching practice carried out in the undergraduate program in Design at UAM Cuajimalpa. In this sense, the research questions are: how can design be taught through agentive social processes that allow opening lines of research for the practice of design conceived as a social discipline? And particularly, how can such processes accompany the teaching practice of design when dealing with social problems? The proposal consists of arguing about the capacity of activating agencies to understand the social dynamics in which both design processes and design teaching are inserted. All this, exemplified with the didactic processes of the Terminal Project Laboratory in the degree in Design at UAM Cuajimalpa, during the year 2020, which theme was Food Sovereignty in the context of the SARS-COV-2 Pandemic.</t>
  </si>
  <si>
    <t>El presente texto contribuye al debate del campo epistémico de la investigación artística (ArtsBased Research) (Greenwood, 2020). El camino emprendido es doble: radica en una reflexión sobre el trabajo creativo realizado por el artista y el diseñador a la luz de una revisión histórica de tres momentos nodales en la evolución del vínculo tecnológico entre el arte y el diseño: Renacimiento, Impresionismo y Revolución cibernética. Estos nodos fijan el análisis cibernético de un flujo de acontecimientos constantes que abonan a la posibilidad de predecir un futuro para estas dos ramas de una misma profesión.</t>
  </si>
  <si>
    <t>r.rosales@correo.ler.uam.mx</t>
  </si>
  <si>
    <t>Investigación artística, evolución arte/diseño, arte cibernético</t>
  </si>
  <si>
    <t>This text contributes to the debate in the epistemic field of Art-Based Research. The road carried is double and is rooted in a reflection about the creative work of the artist and the designer at the sight of an historical revision of three nodal moments in the technological evolution link between art and design: Renaissance, Impressionism and Cybernetic Revolution. These nodes set the cybernetic analysis of a flux of constant events that support the possibility to predict a future for these two branches of the same profession.</t>
  </si>
  <si>
    <t>emmawildecomposer@gmail.com</t>
  </si>
  <si>
    <t>mduarte@enesmorelia.unam.mx</t>
  </si>
  <si>
    <t>Universidad Nacional Autónoma de México</t>
  </si>
  <si>
    <t>Nuestra educación se basa en procesos pedagógicos a partir de nuestros sentidos. La vista es el sentido sensorial más fuerte (Schafer, 1977). La enseñanza musical muchas veces se basa a partir del contacto con la partitura en notaciones tradicionales. Sin embargo, el uso de notaciones gráficas no tradicionales puede ser utilizado en el aula cuando no se dispone de experiencia previa. En este artículo proponemos una herramienta educativa a partir de la comprensión de los parámetros musicales, los modos de escucha y el uso de notaciones gráficas para el análisis musical. Se estudiaron trabajos de 52 participantes a partir de la categorización gráfica de Reybrouk y otros (2009). Encontramos que 86.55% de los estudiantes mostraron un uso acertado de los parámetros musicales en combinación con los modos de escucha. Esta herramienta educativa puede proveer al docente de información valiosa sobre las competencias analíticas de sus estudiantes</t>
  </si>
  <si>
    <t>herramienta pedagógica musical, notación gráfica, modos de escucha</t>
  </si>
  <si>
    <t>Our education is based on sensorial pedagogical processes. Sight is the most powerful sense (Schafer, 1977). Often, musical education focuses on contact with traditionally notated scores, however, graphical notations can be used in the classroom when the students have no prior experience of music theory. In this article we propose a pedagogical tool which combines musical parameters, listening modes and the use of graphic scores to realize musical analysis. The graphic scores of 52 participants were studied according to the categorizations of graphic notations proposed by Reybrouk et al. (2009). We found that 86.55% of the students´ graphic scores showed a delineation of the musical parameters in combination with use of the listening modes. This educative tool can provide the teacher with valuable information about the analytical capabilities of the students.</t>
  </si>
  <si>
    <t>Esta colaboración se propone reflexionar sobre los límites del arte tanto en sus formas de producción como en su práctica interdisciplinaria, que, en su devenir, difumina las fronteras disciplinares. Se parte de dos premisas: los límites de las disciplinas artísticas son borrosos y una de sus consecuencias es la falta de visibilidad de sus aportes en la generación de conocimiento. De ahí, la tesis que sostiene este trabajo es que la investigación-creación es una vía para visibilizar el carácter interdisciplinario de las artes, así como sus aportes en la generación de conocimiento. Para propiciar el análisis, se recurre a tres autores: Bourdieu, que contribuye a repensar el campo artístico; Lotman, que con el concepto de frontera ayuda a pensar los límites disciplinares; y Borgdorff, que a partir de la percepción del conflicto arte-ciencia da pie para pensar en los aportes de las artes en su dimensión epocal. Desde este horizonte se revisan los posibles alcances de la investigación-creación del arte digital en la producción de conocimiento al abrigo de la universidad</t>
  </si>
  <si>
    <t>investigación creación, práctica artística, interdisciplina</t>
  </si>
  <si>
    <t>This collaboration aims to ponder the limits of art both in its forms of production and in its interdisciplinary practice that, as it becomes, blurs disciplinary boundaries. It starts from two premises: the limits of artistic disciplines are fuzzy and, one of its consequences is the lack of visibility of their contributions in the generation of knowledge. The thesis this work supports is that artistic research is a way to make visible the interdisciplinary nature of the arts and its contributions to knowledge generation. Three authors are used to promote the analysis: Bourdieu, who contributes to rethinking the artistic field, Lotman, who with the concept of border helps to think about disciplinary limits, and Borgdorff, who, from the perception of the art-science conflict, gives rise to thinking in the contributions of the arts in their epochal dimension. From this horizon, the possible scopes of research-creation of digital art in the production of knowledge in the shelter of the university are reviewed</t>
  </si>
  <si>
    <t>a.robles@correo.ler.uam.mx</t>
  </si>
  <si>
    <t>g.lins@correo.ler.uam.mx</t>
  </si>
  <si>
    <t>mbenitez@correo.ler.uam.mx</t>
  </si>
  <si>
    <t>i.lopez@correo.ler.uam.mx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</si>
</sst>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Calibri"/>
      <family val="2"/>
      <scheme val="minor"/>
    </font>
    <font>
      <b/>
      <sz val="10"/>
      <color theme="1"/>
      <name val="Calibri"/>
      <family val="2"/>
      <scheme val="minor"/>
    </font>
    <font>
      <sz val="8"/>
      <name val="Calibri"/>
      <family val="2"/>
      <scheme val="minor"/>
    </font>
    <font>
      <u/>
      <sz val="11"/>
      <color theme="10"/>
      <name val="Calibri"/>
      <family val="2"/>
      <scheme val="minor"/>
    </font>
    <font>
      <u/>
      <sz val="10"/>
      <color theme="10"/>
      <name val="Calibri"/>
      <family val="2"/>
      <scheme val="minor"/>
    </font>
    <font>
      <sz val="10"/>
      <color rgb="FF000000"/>
      <name val="Calibri"/>
      <family val="2"/>
      <scheme val="minor"/>
    </font>
    <font>
      <sz val="10"/>
      <color rgb="FF2F5496"/>
      <name val="Calibri Light"/>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1" fillId="0" borderId="0" xfId="0" quotePrefix="1" applyFont="1"/>
    <xf numFmtId="0" fontId="2" fillId="0" borderId="0" xfId="0" applyFont="1"/>
    <xf numFmtId="0" fontId="5" fillId="0" borderId="0" xfId="1" applyFont="1"/>
    <xf numFmtId="0" fontId="6" fillId="0" borderId="0" xfId="0" applyFont="1" applyAlignment="1">
      <alignment vertical="center"/>
    </xf>
    <xf numFmtId="0" fontId="1" fillId="0" borderId="0" xfId="1" applyFont="1"/>
    <xf numFmtId="0" fontId="7" fillId="0" borderId="0" xfId="0" applyFont="1"/>
    <xf numFmtId="0" fontId="1" fillId="0" borderId="0" xfId="0" quotePrefix="1" applyNumberFormat="1" applyFont="1"/>
    <xf numFmtId="0" fontId="4" fillId="0" borderId="0" xfId="1"/>
  </cellXfs>
  <cellStyles count="2">
    <cellStyle name="Hipervínculo" xfId="1" builtinId="8"/>
    <cellStyle name="Normal" xfId="0" builtinId="0"/>
  </cellStyles>
  <dxfs count="17">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A005C3-53BE-4DB2-9228-2DC1A8A77E90}" name="Tabla1" displayName="Tabla1" ref="A1:O20" totalsRowShown="0" headerRowDxfId="16" dataDxfId="15">
  <autoFilter ref="A1:O20" xr:uid="{0950BF85-0B74-4525-B005-F4CB93D0794B}"/>
  <tableColumns count="15">
    <tableColumn id="1" xr3:uid="{8F4DD1C6-F1C7-4AE8-B71A-29D60A5324FD}" name="COD_ART" dataDxfId="14"/>
    <tableColumn id="4" xr3:uid="{00716B65-4419-4CC4-A04F-0F8BCFF860EE}" name="ARCHIVO" dataDxfId="13">
      <calculatedColumnFormula>CONCATENATE("ART",Tabla1[[#This Row],[COD_ART]])</calculatedColumnFormula>
    </tableColumn>
    <tableColumn id="7" xr3:uid="{ECA17B1E-15B7-4BA1-AC6C-22E08D8DB4C7}" name="SECCION" dataDxfId="12"/>
    <tableColumn id="2" xr3:uid="{7340D59F-A755-430F-99B0-5DBE71535422}" name="TITULO" dataDxfId="11"/>
    <tableColumn id="15" xr3:uid="{D10831DB-E7FD-46F9-B55A-B3BF84F27EE6}" name="SUBTITULO" dataDxfId="10"/>
    <tableColumn id="3" xr3:uid="{ED014E53-75A3-4BBD-A589-9EDBD527D8B0}" name="AUTOR" dataDxfId="9"/>
    <tableColumn id="10" xr3:uid="{626D39DC-4EC5-4CF6-8E68-BEC940991C95}" name="contacto" dataDxfId="8"/>
    <tableColumn id="11" xr3:uid="{6B94EA95-1D1B-4E43-9569-1EFAB6632B30}" name="pais" dataDxfId="7"/>
    <tableColumn id="12" xr3:uid="{93E310FB-D61E-4728-B9C9-D143C57A336E}" name="institución" dataDxfId="6"/>
    <tableColumn id="13" xr3:uid="{DE19B554-9166-4D09-9A37-F8DC87A9AA6F}" name="rol" dataDxfId="5"/>
    <tableColumn id="8" xr3:uid="{D7443612-1749-469B-9C70-3B66ED51B53F}" name="resumen" dataDxfId="4"/>
    <tableColumn id="9" xr3:uid="{F0720912-36D6-4398-866D-8D9105E11D5D}" name="palabras" dataDxfId="3"/>
    <tableColumn id="5" xr3:uid="{383E3AF4-1772-4DBF-B71C-E75358C6E8C4}" name="PAGINA_INICIO" dataDxfId="2"/>
    <tableColumn id="6" xr3:uid="{74AC9BC2-E2C6-47A6-83D5-30A58EC494CA}" name="PAGINA_FINAL" dataDxfId="1"/>
    <tableColumn id="17" xr3:uid="{1B5AFB99-8A21-4BC4-A3FE-28A72FBD99D2}" name="INGLES"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r.rosales@correo.ler.uam.mx" TargetMode="External"/><Relationship Id="rId7" Type="http://schemas.openxmlformats.org/officeDocument/2006/relationships/printerSettings" Target="../printerSettings/printerSettings1.bin"/><Relationship Id="rId2" Type="http://schemas.openxmlformats.org/officeDocument/2006/relationships/hyperlink" Target="mailto:cenidid.zmacias@inba.edu.mx" TargetMode="External"/><Relationship Id="rId1" Type="http://schemas.openxmlformats.org/officeDocument/2006/relationships/hyperlink" Target="mailto:ecastaneda@cua.uam.mx" TargetMode="External"/><Relationship Id="rId6" Type="http://schemas.openxmlformats.org/officeDocument/2006/relationships/hyperlink" Target="mailto:a.robles@correo.ler.uam.mx" TargetMode="External"/><Relationship Id="rId5" Type="http://schemas.openxmlformats.org/officeDocument/2006/relationships/hyperlink" Target="mailto:mduarte@enesmorelia.unam.mx" TargetMode="External"/><Relationship Id="rId4" Type="http://schemas.openxmlformats.org/officeDocument/2006/relationships/hyperlink" Target="mailto:emmawildecompos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05E5D-A3F2-4E3C-838F-A30C016186BE}">
  <dimension ref="A1:O20"/>
  <sheetViews>
    <sheetView tabSelected="1" workbookViewId="0">
      <selection activeCell="A14" sqref="A14"/>
    </sheetView>
  </sheetViews>
  <sheetFormatPr baseColWidth="10" defaultRowHeight="14.5" x14ac:dyDescent="0.35"/>
  <cols>
    <col min="1" max="1" width="8.6328125" customWidth="1"/>
    <col min="2" max="2" width="12.6328125" customWidth="1"/>
    <col min="3" max="3" width="10.7265625" customWidth="1"/>
    <col min="4" max="4" width="78.90625" customWidth="1"/>
    <col min="5" max="5" width="16.81640625" customWidth="1"/>
    <col min="6" max="6" width="26.90625" customWidth="1"/>
    <col min="7" max="7" width="25.08984375" style="1" customWidth="1"/>
    <col min="8" max="8" width="10.81640625" customWidth="1"/>
    <col min="9" max="9" width="41.90625" customWidth="1"/>
    <col min="10" max="10" width="8.90625" customWidth="1"/>
    <col min="11" max="11" width="25.1796875" customWidth="1"/>
    <col min="12" max="12" width="18.26953125" customWidth="1"/>
    <col min="13" max="13" width="11.08984375" customWidth="1"/>
    <col min="14" max="14" width="11.26953125" customWidth="1"/>
    <col min="15" max="15" width="21.90625" customWidth="1"/>
  </cols>
  <sheetData>
    <row r="1" spans="1:15" x14ac:dyDescent="0.35">
      <c r="A1" s="1" t="s">
        <v>0</v>
      </c>
      <c r="B1" s="1" t="s">
        <v>4</v>
      </c>
      <c r="C1" s="1" t="s">
        <v>13</v>
      </c>
      <c r="D1" s="1" t="s">
        <v>1</v>
      </c>
      <c r="E1" s="1" t="s">
        <v>23</v>
      </c>
      <c r="F1" s="1" t="s">
        <v>2</v>
      </c>
      <c r="G1" s="1" t="s">
        <v>18</v>
      </c>
      <c r="H1" s="1" t="s">
        <v>19</v>
      </c>
      <c r="I1" s="1" t="s">
        <v>20</v>
      </c>
      <c r="J1" s="1" t="s">
        <v>21</v>
      </c>
      <c r="K1" s="1" t="s">
        <v>16</v>
      </c>
      <c r="L1" s="1" t="s">
        <v>17</v>
      </c>
      <c r="M1" s="1" t="s">
        <v>11</v>
      </c>
      <c r="N1" s="1" t="s">
        <v>12</v>
      </c>
      <c r="O1" s="1" t="s">
        <v>27</v>
      </c>
    </row>
    <row r="2" spans="1:15" x14ac:dyDescent="0.35">
      <c r="A2" s="2" t="s">
        <v>26</v>
      </c>
      <c r="B2" s="2" t="str">
        <f>CONCATENATE("ART",Tabla1[[#This Row],[COD_ART]])</f>
        <v>ART000</v>
      </c>
      <c r="C2" s="2" t="s">
        <v>10</v>
      </c>
      <c r="D2" s="1" t="s">
        <v>22</v>
      </c>
      <c r="E2" s="1"/>
      <c r="F2" s="1" t="s">
        <v>29</v>
      </c>
      <c r="G2" s="4"/>
      <c r="H2" s="1" t="s">
        <v>24</v>
      </c>
      <c r="I2" s="1" t="s">
        <v>25</v>
      </c>
      <c r="J2" s="1"/>
      <c r="K2" s="1"/>
      <c r="L2" s="1"/>
      <c r="M2" s="1">
        <v>1</v>
      </c>
      <c r="N2" s="1">
        <v>4</v>
      </c>
      <c r="O2" s="1"/>
    </row>
    <row r="3" spans="1:15" x14ac:dyDescent="0.35">
      <c r="A3" s="2" t="s">
        <v>26</v>
      </c>
      <c r="B3" s="2" t="str">
        <f>CONCATENATE("ART",Tabla1[[#This Row],[COD_ART]])</f>
        <v>ART000</v>
      </c>
      <c r="C3" s="2" t="s">
        <v>10</v>
      </c>
      <c r="D3" s="1" t="s">
        <v>22</v>
      </c>
      <c r="E3" s="1"/>
      <c r="F3" s="1" t="s">
        <v>30</v>
      </c>
      <c r="G3" s="6"/>
      <c r="H3" s="1" t="s">
        <v>24</v>
      </c>
      <c r="I3" s="1" t="s">
        <v>25</v>
      </c>
      <c r="J3" s="1"/>
      <c r="K3" s="1"/>
      <c r="L3" s="1"/>
      <c r="M3" s="1">
        <v>1</v>
      </c>
      <c r="N3" s="1">
        <v>4</v>
      </c>
      <c r="O3" s="1"/>
    </row>
    <row r="4" spans="1:15" x14ac:dyDescent="0.35">
      <c r="A4" s="2" t="s">
        <v>26</v>
      </c>
      <c r="B4" s="8" t="str">
        <f>CONCATENATE("ART",Tabla1[[#This Row],[COD_ART]])</f>
        <v>ART000</v>
      </c>
      <c r="C4" s="2" t="s">
        <v>10</v>
      </c>
      <c r="D4" s="1" t="s">
        <v>22</v>
      </c>
      <c r="E4" s="1"/>
      <c r="F4" s="1" t="s">
        <v>31</v>
      </c>
      <c r="G4" s="6"/>
      <c r="H4" s="1" t="s">
        <v>24</v>
      </c>
      <c r="I4" s="1" t="s">
        <v>25</v>
      </c>
      <c r="J4" s="1"/>
      <c r="K4" s="1"/>
      <c r="L4" s="1"/>
      <c r="M4" s="1">
        <v>1</v>
      </c>
      <c r="N4" s="1">
        <v>4</v>
      </c>
      <c r="O4" s="1"/>
    </row>
    <row r="5" spans="1:15" x14ac:dyDescent="0.35">
      <c r="A5" s="2" t="s">
        <v>3</v>
      </c>
      <c r="B5" s="8" t="str">
        <f>CONCATENATE("ART",Tabla1[[#This Row],[COD_ART]])</f>
        <v>ART001</v>
      </c>
      <c r="C5" s="1" t="s">
        <v>14</v>
      </c>
      <c r="D5" s="1" t="s">
        <v>32</v>
      </c>
      <c r="E5" s="1"/>
      <c r="F5" s="1" t="s">
        <v>46</v>
      </c>
      <c r="G5" s="9" t="s">
        <v>61</v>
      </c>
      <c r="H5" s="1" t="s">
        <v>24</v>
      </c>
      <c r="I5" s="1" t="s">
        <v>56</v>
      </c>
      <c r="J5" s="3"/>
      <c r="K5" s="1" t="s">
        <v>57</v>
      </c>
      <c r="L5" s="1" t="s">
        <v>58</v>
      </c>
      <c r="M5" s="1">
        <v>6</v>
      </c>
      <c r="N5" s="1">
        <v>13</v>
      </c>
      <c r="O5" s="5" t="s">
        <v>59</v>
      </c>
    </row>
    <row r="6" spans="1:15" x14ac:dyDescent="0.35">
      <c r="A6" s="2" t="s">
        <v>5</v>
      </c>
      <c r="B6" s="8" t="str">
        <f>CONCATENATE("ART",Tabla1[[#This Row],[COD_ART]])</f>
        <v>ART002</v>
      </c>
      <c r="C6" s="1" t="s">
        <v>14</v>
      </c>
      <c r="D6" s="1" t="s">
        <v>43</v>
      </c>
      <c r="E6" s="1" t="s">
        <v>42</v>
      </c>
      <c r="F6" s="1" t="s">
        <v>47</v>
      </c>
      <c r="G6" s="9" t="s">
        <v>60</v>
      </c>
      <c r="H6" s="1" t="s">
        <v>24</v>
      </c>
      <c r="I6" s="1" t="s">
        <v>28</v>
      </c>
      <c r="J6" s="1"/>
      <c r="K6" s="1" t="s">
        <v>62</v>
      </c>
      <c r="L6" s="1" t="s">
        <v>63</v>
      </c>
      <c r="M6" s="1">
        <v>14</v>
      </c>
      <c r="N6" s="1">
        <v>39</v>
      </c>
      <c r="O6" s="5" t="s">
        <v>64</v>
      </c>
    </row>
    <row r="7" spans="1:15" x14ac:dyDescent="0.35">
      <c r="A7" s="2" t="s">
        <v>5</v>
      </c>
      <c r="B7" s="8" t="str">
        <f>CONCATENATE("ART",Tabla1[[#This Row],[COD_ART]])</f>
        <v>ART002</v>
      </c>
      <c r="C7" s="1" t="s">
        <v>14</v>
      </c>
      <c r="D7" s="1" t="s">
        <v>43</v>
      </c>
      <c r="E7" s="1" t="s">
        <v>42</v>
      </c>
      <c r="F7" s="1" t="s">
        <v>48</v>
      </c>
      <c r="H7" s="1" t="s">
        <v>24</v>
      </c>
      <c r="I7" s="1" t="s">
        <v>28</v>
      </c>
      <c r="J7" s="1"/>
      <c r="K7" s="1" t="s">
        <v>62</v>
      </c>
      <c r="L7" s="1" t="s">
        <v>63</v>
      </c>
      <c r="M7" s="1">
        <v>14</v>
      </c>
      <c r="N7" s="1">
        <v>39</v>
      </c>
      <c r="O7" s="5" t="s">
        <v>64</v>
      </c>
    </row>
    <row r="8" spans="1:15" x14ac:dyDescent="0.35">
      <c r="A8" s="2" t="s">
        <v>6</v>
      </c>
      <c r="B8" s="8" t="str">
        <f>CONCATENATE("ART",Tabla1[[#This Row],[COD_ART]])</f>
        <v>ART003</v>
      </c>
      <c r="C8" s="1" t="s">
        <v>14</v>
      </c>
      <c r="D8" s="1" t="s">
        <v>33</v>
      </c>
      <c r="E8" s="1"/>
      <c r="F8" s="1" t="s">
        <v>49</v>
      </c>
      <c r="G8" s="9" t="s">
        <v>66</v>
      </c>
      <c r="H8" s="1" t="s">
        <v>24</v>
      </c>
      <c r="I8" s="1" t="s">
        <v>25</v>
      </c>
      <c r="J8" s="1"/>
      <c r="K8" s="1" t="s">
        <v>65</v>
      </c>
      <c r="L8" s="1" t="s">
        <v>67</v>
      </c>
      <c r="M8" s="1">
        <v>40</v>
      </c>
      <c r="N8" s="1">
        <v>61</v>
      </c>
      <c r="O8" s="1" t="s">
        <v>68</v>
      </c>
    </row>
    <row r="9" spans="1:15" x14ac:dyDescent="0.35">
      <c r="A9" s="2" t="s">
        <v>7</v>
      </c>
      <c r="B9" s="8" t="str">
        <f>CONCATENATE("ART",Tabla1[[#This Row],[COD_ART]])</f>
        <v>ART004</v>
      </c>
      <c r="C9" s="1" t="s">
        <v>14</v>
      </c>
      <c r="D9" s="1" t="s">
        <v>34</v>
      </c>
      <c r="E9" s="1"/>
      <c r="F9" s="1" t="s">
        <v>50</v>
      </c>
      <c r="G9" s="9" t="s">
        <v>69</v>
      </c>
      <c r="H9" s="1" t="s">
        <v>24</v>
      </c>
      <c r="I9" s="1" t="s">
        <v>71</v>
      </c>
      <c r="J9" s="1"/>
      <c r="K9" s="1" t="s">
        <v>72</v>
      </c>
      <c r="L9" s="1" t="s">
        <v>73</v>
      </c>
      <c r="M9" s="1">
        <v>62</v>
      </c>
      <c r="N9" s="1">
        <v>78</v>
      </c>
      <c r="O9" s="1" t="s">
        <v>74</v>
      </c>
    </row>
    <row r="10" spans="1:15" x14ac:dyDescent="0.35">
      <c r="A10" s="2" t="s">
        <v>7</v>
      </c>
      <c r="B10" s="8" t="str">
        <f>CONCATENATE("ART",Tabla1[[#This Row],[COD_ART]])</f>
        <v>ART004</v>
      </c>
      <c r="C10" s="1" t="s">
        <v>14</v>
      </c>
      <c r="D10" s="1" t="s">
        <v>34</v>
      </c>
      <c r="E10" s="1"/>
      <c r="F10" s="1" t="s">
        <v>51</v>
      </c>
      <c r="G10" s="9" t="s">
        <v>70</v>
      </c>
      <c r="H10" s="1" t="s">
        <v>24</v>
      </c>
      <c r="I10" s="1" t="s">
        <v>71</v>
      </c>
      <c r="J10" s="1"/>
      <c r="K10" s="1" t="s">
        <v>72</v>
      </c>
      <c r="L10" s="1" t="s">
        <v>73</v>
      </c>
      <c r="M10" s="1">
        <v>62</v>
      </c>
      <c r="N10" s="1">
        <v>78</v>
      </c>
      <c r="O10" s="1" t="s">
        <v>74</v>
      </c>
    </row>
    <row r="11" spans="1:15" x14ac:dyDescent="0.35">
      <c r="A11" s="2" t="s">
        <v>8</v>
      </c>
      <c r="B11" s="8" t="str">
        <f>CONCATENATE("ART",Tabla1[[#This Row],[COD_ART]])</f>
        <v>ART005</v>
      </c>
      <c r="C11" s="1" t="s">
        <v>14</v>
      </c>
      <c r="D11" s="1" t="s">
        <v>35</v>
      </c>
      <c r="E11" s="1"/>
      <c r="F11" s="1" t="s">
        <v>52</v>
      </c>
      <c r="G11" s="9" t="s">
        <v>78</v>
      </c>
      <c r="H11" s="1" t="s">
        <v>24</v>
      </c>
      <c r="I11" s="1" t="s">
        <v>25</v>
      </c>
      <c r="J11" s="1"/>
      <c r="K11" s="1" t="s">
        <v>75</v>
      </c>
      <c r="L11" s="1" t="s">
        <v>76</v>
      </c>
      <c r="M11" s="1">
        <v>79</v>
      </c>
      <c r="N11" s="1">
        <v>91</v>
      </c>
      <c r="O11" s="1" t="s">
        <v>77</v>
      </c>
    </row>
    <row r="12" spans="1:15" x14ac:dyDescent="0.35">
      <c r="A12" s="2" t="s">
        <v>9</v>
      </c>
      <c r="B12" s="8" t="str">
        <f>CONCATENATE("ART",Tabla1[[#This Row],[COD_ART]])</f>
        <v>ART006</v>
      </c>
      <c r="C12" s="1" t="s">
        <v>15</v>
      </c>
      <c r="D12" s="1" t="s">
        <v>36</v>
      </c>
      <c r="E12" s="1"/>
      <c r="F12" s="1" t="s">
        <v>53</v>
      </c>
      <c r="G12" s="1" t="s">
        <v>79</v>
      </c>
      <c r="H12" s="1" t="s">
        <v>24</v>
      </c>
      <c r="I12" s="1" t="s">
        <v>25</v>
      </c>
      <c r="J12" s="1"/>
      <c r="K12" s="1"/>
      <c r="L12" s="1"/>
      <c r="M12" s="1">
        <v>93</v>
      </c>
      <c r="N12" s="1">
        <v>97</v>
      </c>
      <c r="O12" s="1"/>
    </row>
    <row r="13" spans="1:15" x14ac:dyDescent="0.35">
      <c r="A13" s="2" t="s">
        <v>40</v>
      </c>
      <c r="B13" s="8" t="str">
        <f>CONCATENATE("ART",Tabla1[[#This Row],[COD_ART]])</f>
        <v>ART007</v>
      </c>
      <c r="C13" s="1" t="s">
        <v>38</v>
      </c>
      <c r="D13" s="1" t="s">
        <v>37</v>
      </c>
      <c r="E13" s="1"/>
      <c r="F13" s="1" t="s">
        <v>54</v>
      </c>
      <c r="G13" s="1" t="s">
        <v>81</v>
      </c>
      <c r="H13" s="1" t="s">
        <v>24</v>
      </c>
      <c r="I13" s="1" t="s">
        <v>25</v>
      </c>
      <c r="J13" s="1"/>
      <c r="K13" s="1"/>
      <c r="L13" s="1"/>
      <c r="M13" s="1">
        <v>99</v>
      </c>
      <c r="N13" s="1">
        <v>115</v>
      </c>
      <c r="O13" s="1"/>
    </row>
    <row r="14" spans="1:15" x14ac:dyDescent="0.35">
      <c r="A14" s="2" t="s">
        <v>41</v>
      </c>
      <c r="B14" s="8" t="str">
        <f>CONCATENATE("ART",Tabla1[[#This Row],[COD_ART]])</f>
        <v>ART008</v>
      </c>
      <c r="C14" s="1" t="s">
        <v>39</v>
      </c>
      <c r="D14" s="1" t="s">
        <v>45</v>
      </c>
      <c r="E14" s="1" t="s">
        <v>44</v>
      </c>
      <c r="F14" s="1" t="s">
        <v>55</v>
      </c>
      <c r="G14" s="7" t="s">
        <v>80</v>
      </c>
      <c r="H14" s="1" t="s">
        <v>24</v>
      </c>
      <c r="I14" s="1" t="s">
        <v>25</v>
      </c>
      <c r="J14" s="1"/>
      <c r="K14" s="1"/>
      <c r="L14" s="1"/>
      <c r="M14" s="1">
        <v>117</v>
      </c>
      <c r="N14" s="1">
        <v>123</v>
      </c>
      <c r="O14" s="1"/>
    </row>
    <row r="15" spans="1:15" x14ac:dyDescent="0.35">
      <c r="A15" s="2"/>
      <c r="B15" s="8"/>
      <c r="C15" s="1"/>
      <c r="D15" s="1"/>
      <c r="E15" s="1"/>
      <c r="F15" s="1"/>
      <c r="H15" s="1"/>
      <c r="I15" s="1"/>
      <c r="J15" s="1"/>
      <c r="K15" s="1"/>
      <c r="L15" s="1"/>
      <c r="M15" s="1"/>
      <c r="N15" s="1"/>
      <c r="O15" s="1"/>
    </row>
    <row r="16" spans="1:15" x14ac:dyDescent="0.35">
      <c r="A16" s="2"/>
      <c r="B16" s="8"/>
      <c r="C16" s="1"/>
      <c r="D16" s="1"/>
      <c r="E16" s="1"/>
      <c r="F16" s="1"/>
      <c r="H16" s="1"/>
      <c r="I16" s="1"/>
      <c r="J16" s="1"/>
      <c r="K16" s="1"/>
      <c r="L16" s="1"/>
      <c r="M16" s="1"/>
      <c r="N16" s="1"/>
      <c r="O16" s="1"/>
    </row>
    <row r="17" spans="1:15" x14ac:dyDescent="0.35">
      <c r="A17" s="2"/>
      <c r="B17" s="8"/>
      <c r="C17" s="1"/>
      <c r="D17" s="1"/>
      <c r="E17" s="1"/>
      <c r="F17" s="1"/>
      <c r="H17" s="1"/>
      <c r="I17" s="1"/>
      <c r="J17" s="1"/>
      <c r="K17" s="1"/>
      <c r="L17" s="1"/>
      <c r="M17" s="1"/>
      <c r="N17" s="1"/>
      <c r="O17" s="1"/>
    </row>
    <row r="18" spans="1:15" x14ac:dyDescent="0.35">
      <c r="A18" s="2"/>
      <c r="B18" s="8"/>
      <c r="C18" s="1"/>
      <c r="D18" s="1"/>
      <c r="E18" s="1"/>
      <c r="F18" s="1"/>
      <c r="H18" s="1"/>
      <c r="I18" s="1"/>
      <c r="J18" s="1"/>
      <c r="K18" s="1"/>
      <c r="L18" s="1"/>
      <c r="M18" s="1"/>
      <c r="N18" s="1"/>
      <c r="O18" s="1"/>
    </row>
    <row r="19" spans="1:15" x14ac:dyDescent="0.35">
      <c r="A19" s="2"/>
      <c r="B19" s="8"/>
      <c r="C19" s="1"/>
      <c r="D19" s="1"/>
      <c r="E19" s="1"/>
      <c r="F19" s="1"/>
      <c r="H19" s="1"/>
      <c r="I19" s="1"/>
      <c r="J19" s="1"/>
      <c r="K19" s="1"/>
      <c r="L19" s="1"/>
      <c r="M19" s="1"/>
      <c r="N19" s="1"/>
      <c r="O19" s="1"/>
    </row>
    <row r="20" spans="1:15" x14ac:dyDescent="0.35">
      <c r="A20" s="2"/>
      <c r="B20" s="8"/>
      <c r="C20" s="1"/>
      <c r="D20" s="1"/>
      <c r="E20" s="1"/>
      <c r="F20" s="1"/>
      <c r="H20" s="1"/>
      <c r="I20" s="1"/>
      <c r="J20" s="1"/>
      <c r="K20" s="1"/>
      <c r="L20" s="1"/>
      <c r="M20" s="1"/>
      <c r="N20" s="1"/>
      <c r="O20" s="1"/>
    </row>
  </sheetData>
  <phoneticPr fontId="3" type="noConversion"/>
  <hyperlinks>
    <hyperlink ref="G6" r:id="rId1" xr:uid="{5ABA5279-D19E-4F48-9052-12D421F89A8B}"/>
    <hyperlink ref="G5" r:id="rId2" xr:uid="{76AD125A-A69E-42B6-AD69-A5EB0A2DDFDC}"/>
    <hyperlink ref="G8" r:id="rId3" xr:uid="{710B619A-756C-4F38-9951-6F00821C9F35}"/>
    <hyperlink ref="G9" r:id="rId4" xr:uid="{513ED43D-56FA-4D08-898C-18B3495D19FF}"/>
    <hyperlink ref="G10" r:id="rId5" xr:uid="{92802F57-439F-4521-8F32-36215ABBC762}"/>
    <hyperlink ref="G11" r:id="rId6" xr:uid="{9A63AEC9-31DD-42D7-89EA-F00E8A482934}"/>
  </hyperlinks>
  <pageMargins left="0.7" right="0.7" top="0.75" bottom="0.75" header="0.3" footer="0.3"/>
  <pageSetup orientation="portrait" r:id="rId7"/>
  <tableParts count="1">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72BE20B5A46B24D87CF5B6A025ED136" ma:contentTypeVersion="9" ma:contentTypeDescription="Crear nuevo documento." ma:contentTypeScope="" ma:versionID="26fd3ee7bd2bc66df6d02e2f276bf6b6">
  <xsd:schema xmlns:xsd="http://www.w3.org/2001/XMLSchema" xmlns:xs="http://www.w3.org/2001/XMLSchema" xmlns:p="http://schemas.microsoft.com/office/2006/metadata/properties" xmlns:ns3="1659e7b7-d7e3-4889-937a-42691b096a64" xmlns:ns4="f4bc1642-6369-4ea5-b3e1-62fa5d5160e0" targetNamespace="http://schemas.microsoft.com/office/2006/metadata/properties" ma:root="true" ma:fieldsID="8c99d118f2348945e4a43af741bd186b" ns3:_="" ns4:_="">
    <xsd:import namespace="1659e7b7-d7e3-4889-937a-42691b096a64"/>
    <xsd:import namespace="f4bc1642-6369-4ea5-b3e1-62fa5d5160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9e7b7-d7e3-4889-937a-42691b096a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bc1642-6369-4ea5-b3e1-62fa5d5160e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2137A2-D567-47EC-A4B8-AF7FA75E2230}">
  <ds:schemaRefs>
    <ds:schemaRef ds:uri="http://schemas.microsoft.com/sharepoint/v3/contenttype/forms"/>
  </ds:schemaRefs>
</ds:datastoreItem>
</file>

<file path=customXml/itemProps2.xml><?xml version="1.0" encoding="utf-8"?>
<ds:datastoreItem xmlns:ds="http://schemas.openxmlformats.org/officeDocument/2006/customXml" ds:itemID="{59F2F2A9-C030-4D99-8897-AF2A847F44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9e7b7-d7e3-4889-937a-42691b096a64"/>
    <ds:schemaRef ds:uri="f4bc1642-6369-4ea5-b3e1-62fa5d5160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42BC37-2C99-46FB-849A-7B5498911C4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Hoja1!_Hlk113831253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UAML</dc:creator>
  <cp:lastModifiedBy>UAML</cp:lastModifiedBy>
  <dcterms:created xsi:type="dcterms:W3CDTF">2019-10-03T23:43:24Z</dcterms:created>
  <dcterms:modified xsi:type="dcterms:W3CDTF">2022-09-12T12:06:57Z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0x010100272BE20B5A46B24D87CF5B6A025ED136</vt:lpwstr>
  </property>
</Properties>
</file>